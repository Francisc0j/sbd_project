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francisco/Downloads/"/>
    </mc:Choice>
  </mc:AlternateContent>
  <xr:revisionPtr revIDLastSave="0" documentId="13_ncr:1_{93BFA9D5-C037-A645-82CB-C3F31B7923C8}" xr6:coauthVersionLast="47" xr6:coauthVersionMax="47" xr10:uidLastSave="{00000000-0000-0000-0000-000000000000}"/>
  <bookViews>
    <workbookView xWindow="-4460" yWindow="-21100" windowWidth="3840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N2" i="1"/>
  <c r="N3" i="1"/>
  <c r="N6" i="1"/>
  <c r="N11" i="1"/>
  <c r="N4" i="1"/>
  <c r="N5" i="1"/>
  <c r="M2" i="1"/>
  <c r="N7" i="1"/>
  <c r="N8" i="1"/>
  <c r="N9" i="1"/>
  <c r="N10" i="1"/>
  <c r="J3" i="1"/>
  <c r="M3" i="1" s="1"/>
  <c r="J4" i="1"/>
  <c r="M4" i="1" s="1"/>
  <c r="J5" i="1"/>
  <c r="M5" i="1" s="1"/>
  <c r="J6" i="1"/>
  <c r="M6" i="1" s="1"/>
  <c r="J7" i="1"/>
  <c r="M7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15" i="1"/>
  <c r="M15" i="1" s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2" i="1"/>
  <c r="M22" i="1" s="1"/>
  <c r="J23" i="1"/>
  <c r="M23" i="1" s="1"/>
  <c r="J24" i="1"/>
  <c r="M24" i="1" s="1"/>
  <c r="J25" i="1"/>
  <c r="M25" i="1" s="1"/>
  <c r="J26" i="1"/>
  <c r="M26" i="1" s="1"/>
  <c r="J27" i="1"/>
  <c r="M27" i="1" s="1"/>
  <c r="J28" i="1"/>
  <c r="M28" i="1" s="1"/>
  <c r="J29" i="1"/>
  <c r="M29" i="1" s="1"/>
  <c r="J30" i="1"/>
  <c r="M30" i="1" s="1"/>
  <c r="J31" i="1"/>
  <c r="M31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</calcChain>
</file>

<file path=xl/sharedStrings.xml><?xml version="1.0" encoding="utf-8"?>
<sst xmlns="http://schemas.openxmlformats.org/spreadsheetml/2006/main" count="104" uniqueCount="48">
  <si>
    <t>Test</t>
  </si>
  <si>
    <t>DBMS</t>
  </si>
  <si>
    <t>VU</t>
  </si>
  <si>
    <t>WH</t>
  </si>
  <si>
    <t>Run1</t>
  </si>
  <si>
    <t>Run2</t>
  </si>
  <si>
    <t>Run3</t>
  </si>
  <si>
    <t>Run4</t>
  </si>
  <si>
    <t>Run5</t>
  </si>
  <si>
    <t>Avg</t>
  </si>
  <si>
    <t>StdDev</t>
  </si>
  <si>
    <t>Best TPM</t>
  </si>
  <si>
    <t>Efficiency (NOPM/TPM)</t>
  </si>
  <si>
    <t>Durability Overhead (ΔTPM) [C-A]</t>
  </si>
  <si>
    <t>A</t>
  </si>
  <si>
    <t>MySQL</t>
  </si>
  <si>
    <t>PostgreSQL</t>
  </si>
  <si>
    <t>B</t>
  </si>
  <si>
    <t>C</t>
  </si>
  <si>
    <t>6931FA3D645203E213134393</t>
  </si>
  <si>
    <t>69306DD9645003E223938343</t>
  </si>
  <si>
    <t>69320617645203E203839343</t>
  </si>
  <si>
    <t>6930585F645003E223131383</t>
  </si>
  <si>
    <t>69321223645203E273734303</t>
  </si>
  <si>
    <t>6930901E645103E243138313</t>
  </si>
  <si>
    <t>69322A54645203E213536303</t>
  </si>
  <si>
    <t>693288D2645203E223733373</t>
  </si>
  <si>
    <t>69306148645003E273731323</t>
  </si>
  <si>
    <t>6932E34C645303E213832333</t>
  </si>
  <si>
    <t>6932F23F645303E283435323</t>
  </si>
  <si>
    <t>69330756645303E283139303</t>
  </si>
  <si>
    <t>6932A65F645303E283333343</t>
  </si>
  <si>
    <t>6932C373645303E243439323</t>
  </si>
  <si>
    <t>6930AFDF645103E203636323</t>
  </si>
  <si>
    <t>69334366645303E233632323</t>
  </si>
  <si>
    <t>6933FC53645403E293531373</t>
  </si>
  <si>
    <t>6933820A645303E203732383</t>
  </si>
  <si>
    <t>69335DE9645303E273730393</t>
  </si>
  <si>
    <t>6931ADEF645203E233836383</t>
  </si>
  <si>
    <t>693198C7645203E203833333</t>
  </si>
  <si>
    <t>69316A1C645103E273734393</t>
  </si>
  <si>
    <t>693185D4645103E253334363</t>
  </si>
  <si>
    <t>69314DA6645103E213635343</t>
  </si>
  <si>
    <t>693140DB645103E253737393</t>
  </si>
  <si>
    <t>6930F5A1645103E243736383</t>
  </si>
  <si>
    <t>6930E304645103E203433303</t>
  </si>
  <si>
    <t>693053F9645003E243634343</t>
  </si>
  <si>
    <t>6936B8CD645603E223839353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</si>
</sst>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4">
    <xf numFmtId="0" fontId="0" fillId="0" borderId="0" xfId="0"/>
    <xf numFmtId="10" fontId="0" fillId="0" borderId="0" xfId="0" applyNumberFormat="1"/>
    <xf numFmtId="11" fontId="0" fillId="0" borderId="0" xfId="0" applyNumberFormat="1"/>
    <xf numFmtId="0" fontId="4" fillId="0" borderId="0" xfId="0" applyFont="1"/>
    <xf numFmtId="11" fontId="4" fillId="0" borderId="0" xfId="0" applyNumberFormat="1" applyFont="1"/>
    <xf numFmtId="0" fontId="1" fillId="2" borderId="0" xfId="1"/>
    <xf numFmtId="11" fontId="1" fillId="2" borderId="0" xfId="1" applyNumberFormat="1"/>
    <xf numFmtId="0" fontId="3" fillId="4" borderId="1" xfId="3"/>
    <xf numFmtId="11" fontId="3" fillId="4" borderId="1" xfId="3" applyNumberFormat="1"/>
    <xf numFmtId="11" fontId="2" fillId="3" borderId="0" xfId="2" applyNumberFormat="1"/>
    <xf numFmtId="0" fontId="2" fillId="3" borderId="0" xfId="2"/>
    <xf numFmtId="0" fontId="0" fillId="5" borderId="0" xfId="0" applyFill="1"/>
    <xf numFmtId="0" fontId="4" fillId="5" borderId="0" xfId="0" applyFont="1" applyFill="1"/>
    <xf numFmtId="10" fontId="0" fillId="5" borderId="0" xfId="0" applyNumberFormat="1" applyFill="1"/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R35" sqref="R35"/>
    </sheetView>
  </sheetViews>
  <sheetFormatPr baseColWidth="10" defaultColWidth="8.83203125" defaultRowHeight="15" x14ac:dyDescent="0.2"/>
  <cols>
    <col min="2" max="2" width="10.83203125" bestFit="1" customWidth="1"/>
    <col min="13" max="13" width="20.6640625" bestFit="1" customWidth="1"/>
    <col min="14" max="14" width="29" bestFit="1" customWidth="1"/>
    <col min="17" max="17" width="25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11</v>
      </c>
    </row>
    <row r="2" spans="1:17" ht="16" x14ac:dyDescent="0.2">
      <c r="A2" t="s">
        <v>14</v>
      </c>
      <c r="B2" t="s">
        <v>15</v>
      </c>
      <c r="C2">
        <v>1</v>
      </c>
      <c r="D2">
        <v>5</v>
      </c>
      <c r="E2">
        <v>11832</v>
      </c>
      <c r="F2">
        <v>11900</v>
      </c>
      <c r="G2">
        <v>11740</v>
      </c>
      <c r="H2">
        <v>11704</v>
      </c>
      <c r="I2">
        <v>12097</v>
      </c>
      <c r="J2">
        <f>AVERAGE(E2:I2)</f>
        <v>11854.6</v>
      </c>
      <c r="K2">
        <f>_xlfn.STDEV.P(E2:I2)</f>
        <v>139.3866564632354</v>
      </c>
      <c r="L2">
        <v>28167</v>
      </c>
      <c r="M2" s="1">
        <f>J2/L2</f>
        <v>0.42086839209003446</v>
      </c>
      <c r="N2">
        <f>L22-L2</f>
        <v>-5402</v>
      </c>
      <c r="Q2" s="5" t="s">
        <v>19</v>
      </c>
    </row>
    <row r="3" spans="1:17" x14ac:dyDescent="0.2">
      <c r="A3" t="s">
        <v>14</v>
      </c>
      <c r="B3" t="s">
        <v>16</v>
      </c>
      <c r="C3">
        <v>1</v>
      </c>
      <c r="D3">
        <v>5</v>
      </c>
      <c r="E3">
        <v>36218</v>
      </c>
      <c r="F3">
        <v>38369</v>
      </c>
      <c r="G3">
        <v>22234</v>
      </c>
      <c r="H3">
        <v>28342</v>
      </c>
      <c r="I3">
        <v>26157</v>
      </c>
      <c r="J3">
        <f t="shared" ref="J3:J31" si="0">AVERAGE(E3:I3)</f>
        <v>30264</v>
      </c>
      <c r="K3">
        <f t="shared" ref="K3:K31" si="1">_xlfn.STDEV.P(E3:I3)</f>
        <v>6102.1893448171531</v>
      </c>
      <c r="L3">
        <v>88354</v>
      </c>
      <c r="M3" s="1">
        <f t="shared" ref="M3:M31" si="2">J3/L3</f>
        <v>0.34253118138397809</v>
      </c>
      <c r="N3">
        <f>L23-L3</f>
        <v>-9552</v>
      </c>
      <c r="Q3" t="s">
        <v>20</v>
      </c>
    </row>
    <row r="4" spans="1:17" ht="16" x14ac:dyDescent="0.2">
      <c r="A4" t="s">
        <v>14</v>
      </c>
      <c r="B4" t="s">
        <v>15</v>
      </c>
      <c r="C4">
        <v>2</v>
      </c>
      <c r="D4">
        <v>10</v>
      </c>
      <c r="E4">
        <v>31707</v>
      </c>
      <c r="F4">
        <v>31250</v>
      </c>
      <c r="G4">
        <v>31721</v>
      </c>
      <c r="H4">
        <v>31426</v>
      </c>
      <c r="I4">
        <v>30982</v>
      </c>
      <c r="J4">
        <f t="shared" si="0"/>
        <v>31417.200000000001</v>
      </c>
      <c r="K4">
        <f t="shared" si="1"/>
        <v>280.61033480611508</v>
      </c>
      <c r="L4">
        <v>73800</v>
      </c>
      <c r="M4" s="1">
        <f t="shared" si="2"/>
        <v>0.42570731707317072</v>
      </c>
      <c r="N4">
        <f>L24-L4</f>
        <v>10589</v>
      </c>
      <c r="Q4" s="6" t="s">
        <v>21</v>
      </c>
    </row>
    <row r="5" spans="1:17" ht="16" x14ac:dyDescent="0.25">
      <c r="A5" t="s">
        <v>14</v>
      </c>
      <c r="B5" t="s">
        <v>16</v>
      </c>
      <c r="C5">
        <v>2</v>
      </c>
      <c r="D5">
        <v>10</v>
      </c>
      <c r="E5">
        <v>73255</v>
      </c>
      <c r="F5">
        <v>61693</v>
      </c>
      <c r="G5">
        <v>59725</v>
      </c>
      <c r="H5">
        <v>69016</v>
      </c>
      <c r="I5">
        <v>47532</v>
      </c>
      <c r="J5">
        <f t="shared" si="0"/>
        <v>62244.2</v>
      </c>
      <c r="K5">
        <f t="shared" si="1"/>
        <v>8833.9573329284303</v>
      </c>
      <c r="L5" s="3">
        <v>168565</v>
      </c>
      <c r="M5" s="1">
        <f t="shared" si="2"/>
        <v>0.36925933616112477</v>
      </c>
      <c r="N5">
        <f>L25-L5</f>
        <v>63494</v>
      </c>
      <c r="Q5" s="3" t="s">
        <v>22</v>
      </c>
    </row>
    <row r="6" spans="1:17" ht="17" x14ac:dyDescent="0.25">
      <c r="A6" t="s">
        <v>14</v>
      </c>
      <c r="B6" t="s">
        <v>15</v>
      </c>
      <c r="C6">
        <v>4</v>
      </c>
      <c r="D6">
        <v>20</v>
      </c>
      <c r="E6" s="3">
        <v>45480</v>
      </c>
      <c r="F6" s="3">
        <v>43983</v>
      </c>
      <c r="G6">
        <v>43703</v>
      </c>
      <c r="H6">
        <v>44654</v>
      </c>
      <c r="I6" s="3">
        <v>44095</v>
      </c>
      <c r="J6">
        <f t="shared" si="0"/>
        <v>44383</v>
      </c>
      <c r="K6">
        <f t="shared" si="1"/>
        <v>629.63386185941431</v>
      </c>
      <c r="L6" s="3">
        <v>105937</v>
      </c>
      <c r="M6" s="1">
        <f t="shared" si="2"/>
        <v>0.41895654964743195</v>
      </c>
      <c r="N6">
        <f>L26-L6</f>
        <v>12389</v>
      </c>
      <c r="Q6" s="6" t="s">
        <v>23</v>
      </c>
    </row>
    <row r="7" spans="1:17" ht="16" x14ac:dyDescent="0.25">
      <c r="A7" t="s">
        <v>14</v>
      </c>
      <c r="B7" t="s">
        <v>16</v>
      </c>
      <c r="C7">
        <v>4</v>
      </c>
      <c r="D7">
        <v>20</v>
      </c>
      <c r="E7" s="3">
        <v>78227</v>
      </c>
      <c r="F7" s="3">
        <v>78376</v>
      </c>
      <c r="G7" s="3">
        <v>73861</v>
      </c>
      <c r="H7" s="3">
        <v>55742</v>
      </c>
      <c r="I7" s="3">
        <v>63290</v>
      </c>
      <c r="J7">
        <f t="shared" si="0"/>
        <v>69899.199999999997</v>
      </c>
      <c r="K7">
        <f t="shared" si="1"/>
        <v>8955.5802358082856</v>
      </c>
      <c r="L7" s="3">
        <v>180357</v>
      </c>
      <c r="M7" s="1">
        <f t="shared" si="2"/>
        <v>0.38756022777047744</v>
      </c>
      <c r="N7">
        <f t="shared" ref="N3:N11" si="3">L27-L7</f>
        <v>124386</v>
      </c>
      <c r="Q7" s="2" t="s">
        <v>24</v>
      </c>
    </row>
    <row r="8" spans="1:17" ht="17" x14ac:dyDescent="0.25">
      <c r="A8" t="s">
        <v>14</v>
      </c>
      <c r="B8" t="s">
        <v>15</v>
      </c>
      <c r="C8">
        <v>8</v>
      </c>
      <c r="D8">
        <v>40</v>
      </c>
      <c r="E8" s="3">
        <v>48274</v>
      </c>
      <c r="F8" s="3">
        <v>49905</v>
      </c>
      <c r="G8" s="3">
        <v>49451</v>
      </c>
      <c r="H8" s="3">
        <v>47165</v>
      </c>
      <c r="I8" s="3">
        <v>49305</v>
      </c>
      <c r="J8">
        <f t="shared" si="0"/>
        <v>48820</v>
      </c>
      <c r="K8">
        <f t="shared" si="1"/>
        <v>984.65750390681535</v>
      </c>
      <c r="L8" s="3">
        <v>115758</v>
      </c>
      <c r="M8" s="1">
        <f t="shared" si="2"/>
        <v>0.4217419098464037</v>
      </c>
      <c r="N8">
        <f t="shared" si="3"/>
        <v>12654</v>
      </c>
      <c r="Q8" s="5" t="s">
        <v>25</v>
      </c>
    </row>
    <row r="9" spans="1:17" ht="16" x14ac:dyDescent="0.25">
      <c r="A9" t="s">
        <v>14</v>
      </c>
      <c r="B9" t="s">
        <v>16</v>
      </c>
      <c r="C9">
        <v>8</v>
      </c>
      <c r="D9">
        <v>40</v>
      </c>
      <c r="E9" s="3">
        <v>73829</v>
      </c>
      <c r="F9" s="3">
        <v>66990</v>
      </c>
      <c r="G9" s="3">
        <v>64788</v>
      </c>
      <c r="H9" s="3">
        <v>59613</v>
      </c>
      <c r="I9" s="3">
        <v>62268</v>
      </c>
      <c r="J9">
        <f t="shared" si="0"/>
        <v>65497.599999999999</v>
      </c>
      <c r="K9">
        <f t="shared" si="1"/>
        <v>4841.5255694873695</v>
      </c>
      <c r="L9" s="3">
        <v>169783</v>
      </c>
      <c r="M9" s="1">
        <f t="shared" si="2"/>
        <v>0.38577242715701809</v>
      </c>
      <c r="N9">
        <f t="shared" si="3"/>
        <v>178170</v>
      </c>
      <c r="Q9" s="4" t="s">
        <v>27</v>
      </c>
    </row>
    <row r="10" spans="1:17" ht="17" x14ac:dyDescent="0.25">
      <c r="A10" t="s">
        <v>14</v>
      </c>
      <c r="B10" t="s">
        <v>15</v>
      </c>
      <c r="C10">
        <v>10</v>
      </c>
      <c r="D10">
        <v>50</v>
      </c>
      <c r="E10" s="3">
        <v>48269</v>
      </c>
      <c r="F10" s="3">
        <v>49572</v>
      </c>
      <c r="G10">
        <v>49707</v>
      </c>
      <c r="H10" s="3">
        <v>49766</v>
      </c>
      <c r="I10" s="3">
        <v>49413</v>
      </c>
      <c r="J10">
        <f t="shared" si="0"/>
        <v>49345.4</v>
      </c>
      <c r="K10">
        <f t="shared" si="1"/>
        <v>551.76321008200614</v>
      </c>
      <c r="L10" s="3">
        <v>115794</v>
      </c>
      <c r="M10" s="1">
        <f t="shared" si="2"/>
        <v>0.42614815966284958</v>
      </c>
      <c r="N10">
        <f t="shared" si="3"/>
        <v>12403</v>
      </c>
      <c r="Q10" s="5" t="s">
        <v>26</v>
      </c>
    </row>
    <row r="11" spans="1:17" ht="16" x14ac:dyDescent="0.25">
      <c r="A11" t="s">
        <v>14</v>
      </c>
      <c r="B11" t="s">
        <v>16</v>
      </c>
      <c r="C11">
        <v>10</v>
      </c>
      <c r="D11">
        <v>50</v>
      </c>
      <c r="E11" s="3">
        <v>64581</v>
      </c>
      <c r="F11" s="3">
        <v>69875</v>
      </c>
      <c r="G11" s="3">
        <v>68495</v>
      </c>
      <c r="H11" s="3">
        <v>63925</v>
      </c>
      <c r="I11" s="3">
        <v>61348</v>
      </c>
      <c r="J11">
        <f t="shared" si="0"/>
        <v>65644.800000000003</v>
      </c>
      <c r="K11">
        <f t="shared" si="1"/>
        <v>3116.7324171317628</v>
      </c>
      <c r="L11" s="3">
        <v>160996</v>
      </c>
      <c r="M11" s="1">
        <f t="shared" si="2"/>
        <v>0.40774180724986958</v>
      </c>
      <c r="N11">
        <f>L31-L11</f>
        <v>156207</v>
      </c>
      <c r="Q11" t="s">
        <v>33</v>
      </c>
    </row>
    <row r="12" spans="1:17" ht="17" x14ac:dyDescent="0.25">
      <c r="A12" t="s">
        <v>17</v>
      </c>
      <c r="B12" t="s">
        <v>15</v>
      </c>
      <c r="C12">
        <v>1</v>
      </c>
      <c r="D12">
        <v>5</v>
      </c>
      <c r="E12" s="3">
        <v>11334</v>
      </c>
      <c r="F12" s="3">
        <v>11002</v>
      </c>
      <c r="G12" s="3">
        <v>11070</v>
      </c>
      <c r="H12" s="3">
        <v>10545</v>
      </c>
      <c r="I12" s="3">
        <v>10794</v>
      </c>
      <c r="J12">
        <f t="shared" si="0"/>
        <v>10949</v>
      </c>
      <c r="K12">
        <f t="shared" si="1"/>
        <v>265.6749894137572</v>
      </c>
      <c r="L12" s="3">
        <v>26362</v>
      </c>
      <c r="M12" s="1">
        <f t="shared" si="2"/>
        <v>0.41533267582125788</v>
      </c>
      <c r="Q12" s="7" t="s">
        <v>31</v>
      </c>
    </row>
    <row r="13" spans="1:17" ht="16" x14ac:dyDescent="0.25">
      <c r="A13" t="s">
        <v>17</v>
      </c>
      <c r="B13" t="s">
        <v>16</v>
      </c>
      <c r="C13">
        <v>1</v>
      </c>
      <c r="D13">
        <v>5</v>
      </c>
      <c r="E13" s="3">
        <v>36218</v>
      </c>
      <c r="F13" s="3">
        <v>13330</v>
      </c>
      <c r="G13" s="3">
        <v>10332</v>
      </c>
      <c r="H13" s="3">
        <v>24965</v>
      </c>
      <c r="I13" s="3">
        <v>9954</v>
      </c>
      <c r="J13">
        <f t="shared" si="0"/>
        <v>18959.8</v>
      </c>
      <c r="K13">
        <f t="shared" si="1"/>
        <v>10209.269403831011</v>
      </c>
      <c r="L13" s="3">
        <v>83427</v>
      </c>
      <c r="M13" s="1">
        <f t="shared" si="2"/>
        <v>0.22726215733515528</v>
      </c>
      <c r="Q13" s="3" t="s">
        <v>46</v>
      </c>
    </row>
    <row r="14" spans="1:17" ht="17" x14ac:dyDescent="0.25">
      <c r="A14" t="s">
        <v>17</v>
      </c>
      <c r="B14" t="s">
        <v>15</v>
      </c>
      <c r="C14">
        <v>2</v>
      </c>
      <c r="D14">
        <v>10</v>
      </c>
      <c r="E14" s="3">
        <v>34574</v>
      </c>
      <c r="F14" s="3">
        <v>33906</v>
      </c>
      <c r="G14" s="3">
        <v>32086</v>
      </c>
      <c r="H14" s="3">
        <v>31894</v>
      </c>
      <c r="I14" s="3">
        <v>32528</v>
      </c>
      <c r="J14">
        <f t="shared" si="0"/>
        <v>32997.599999999999</v>
      </c>
      <c r="K14">
        <f t="shared" si="1"/>
        <v>1056.3805374958399</v>
      </c>
      <c r="L14" s="3">
        <v>80260</v>
      </c>
      <c r="M14" s="1">
        <f t="shared" si="2"/>
        <v>0.41113381510092201</v>
      </c>
      <c r="Q14" s="7" t="s">
        <v>32</v>
      </c>
    </row>
    <row r="15" spans="1:17" ht="16" x14ac:dyDescent="0.25">
      <c r="A15" t="s">
        <v>17</v>
      </c>
      <c r="B15" t="s">
        <v>16</v>
      </c>
      <c r="C15">
        <v>2</v>
      </c>
      <c r="D15">
        <v>10</v>
      </c>
      <c r="E15" s="3">
        <v>79067</v>
      </c>
      <c r="F15" s="3">
        <v>75758</v>
      </c>
      <c r="G15" s="3">
        <v>76299</v>
      </c>
      <c r="H15" s="3">
        <v>31720</v>
      </c>
      <c r="I15" s="3">
        <v>20059</v>
      </c>
      <c r="J15">
        <f t="shared" si="0"/>
        <v>56580.6</v>
      </c>
      <c r="K15">
        <f t="shared" si="1"/>
        <v>25353.906417749513</v>
      </c>
      <c r="L15" s="3">
        <v>181901</v>
      </c>
      <c r="M15" s="1">
        <f t="shared" si="2"/>
        <v>0.31105161598891706</v>
      </c>
      <c r="Q15" s="4" t="s">
        <v>45</v>
      </c>
    </row>
    <row r="16" spans="1:17" ht="17" x14ac:dyDescent="0.25">
      <c r="A16" t="s">
        <v>17</v>
      </c>
      <c r="B16" t="s">
        <v>15</v>
      </c>
      <c r="C16">
        <v>4</v>
      </c>
      <c r="D16">
        <v>20</v>
      </c>
      <c r="E16" s="3">
        <v>55628</v>
      </c>
      <c r="F16" s="3">
        <v>50838</v>
      </c>
      <c r="G16" s="3">
        <v>49441</v>
      </c>
      <c r="H16" s="3">
        <v>58161</v>
      </c>
      <c r="I16" s="3">
        <v>47599</v>
      </c>
      <c r="J16">
        <f t="shared" si="0"/>
        <v>52333.4</v>
      </c>
      <c r="K16">
        <f t="shared" si="1"/>
        <v>3945.4290818616928</v>
      </c>
      <c r="L16" s="3">
        <v>135098</v>
      </c>
      <c r="M16" s="1">
        <f t="shared" si="2"/>
        <v>0.38737361026810169</v>
      </c>
      <c r="Q16" s="7" t="s">
        <v>28</v>
      </c>
    </row>
    <row r="17" spans="1:17" ht="16" x14ac:dyDescent="0.25">
      <c r="A17" t="s">
        <v>17</v>
      </c>
      <c r="B17" t="s">
        <v>16</v>
      </c>
      <c r="C17">
        <v>4</v>
      </c>
      <c r="D17">
        <v>20</v>
      </c>
      <c r="E17" s="3">
        <v>145663</v>
      </c>
      <c r="F17" s="3">
        <v>118602</v>
      </c>
      <c r="G17" s="3">
        <v>90632</v>
      </c>
      <c r="H17" s="3">
        <v>22908</v>
      </c>
      <c r="J17">
        <f t="shared" si="0"/>
        <v>94451.25</v>
      </c>
      <c r="K17">
        <f t="shared" si="1"/>
        <v>45658.858271834833</v>
      </c>
      <c r="L17" s="3">
        <v>335004</v>
      </c>
      <c r="M17" s="1">
        <f t="shared" si="2"/>
        <v>0.28194066339506396</v>
      </c>
      <c r="Q17" s="3" t="s">
        <v>44</v>
      </c>
    </row>
    <row r="18" spans="1:17" ht="17" x14ac:dyDescent="0.25">
      <c r="A18" t="s">
        <v>17</v>
      </c>
      <c r="B18" t="s">
        <v>15</v>
      </c>
      <c r="C18">
        <v>8</v>
      </c>
      <c r="D18">
        <v>40</v>
      </c>
      <c r="E18" s="3">
        <v>70063</v>
      </c>
      <c r="F18" s="3">
        <v>68354</v>
      </c>
      <c r="G18" s="3">
        <v>67466</v>
      </c>
      <c r="H18" s="3">
        <v>66926</v>
      </c>
      <c r="I18" s="3">
        <v>68221</v>
      </c>
      <c r="J18">
        <f t="shared" si="0"/>
        <v>68206</v>
      </c>
      <c r="K18">
        <f t="shared" si="1"/>
        <v>1063.6332074545248</v>
      </c>
      <c r="L18" s="3">
        <v>163118</v>
      </c>
      <c r="M18" s="1">
        <f t="shared" si="2"/>
        <v>0.41813901592712022</v>
      </c>
      <c r="Q18" s="7" t="s">
        <v>29</v>
      </c>
    </row>
    <row r="19" spans="1:17" ht="16" x14ac:dyDescent="0.25">
      <c r="A19" t="s">
        <v>17</v>
      </c>
      <c r="B19" t="s">
        <v>16</v>
      </c>
      <c r="C19">
        <v>8</v>
      </c>
      <c r="D19">
        <v>40</v>
      </c>
      <c r="E19" s="3">
        <v>162923</v>
      </c>
      <c r="F19" s="3">
        <v>156844</v>
      </c>
      <c r="G19" s="3">
        <v>167968</v>
      </c>
      <c r="H19" s="3">
        <v>155832</v>
      </c>
      <c r="I19" s="3">
        <v>136967</v>
      </c>
      <c r="J19">
        <f t="shared" si="0"/>
        <v>156106.79999999999</v>
      </c>
      <c r="K19">
        <f t="shared" si="1"/>
        <v>10527.103787842125</v>
      </c>
      <c r="L19" s="3">
        <v>387092</v>
      </c>
      <c r="M19" s="1">
        <f t="shared" si="2"/>
        <v>0.40328087379744348</v>
      </c>
      <c r="Q19" s="3" t="s">
        <v>43</v>
      </c>
    </row>
    <row r="20" spans="1:17" ht="17" x14ac:dyDescent="0.25">
      <c r="A20" t="s">
        <v>17</v>
      </c>
      <c r="B20" t="s">
        <v>15</v>
      </c>
      <c r="C20">
        <v>10</v>
      </c>
      <c r="D20">
        <v>50</v>
      </c>
      <c r="E20" s="3">
        <v>73207</v>
      </c>
      <c r="F20" s="3">
        <v>71252</v>
      </c>
      <c r="G20" s="3">
        <v>56946</v>
      </c>
      <c r="H20" s="3">
        <v>59765</v>
      </c>
      <c r="I20" s="3">
        <v>65118</v>
      </c>
      <c r="J20">
        <f t="shared" si="0"/>
        <v>65257.599999999999</v>
      </c>
      <c r="K20">
        <f t="shared" si="1"/>
        <v>6299.1527874786461</v>
      </c>
      <c r="L20" s="3">
        <v>169971</v>
      </c>
      <c r="M20" s="1">
        <f t="shared" si="2"/>
        <v>0.38393372987156632</v>
      </c>
      <c r="Q20" s="8" t="s">
        <v>30</v>
      </c>
    </row>
    <row r="21" spans="1:17" ht="16" x14ac:dyDescent="0.25">
      <c r="A21" t="s">
        <v>17</v>
      </c>
      <c r="B21" t="s">
        <v>16</v>
      </c>
      <c r="C21">
        <v>10</v>
      </c>
      <c r="D21">
        <v>50</v>
      </c>
      <c r="E21" s="3">
        <v>169981</v>
      </c>
      <c r="F21" s="3">
        <v>134242</v>
      </c>
      <c r="G21" s="3">
        <v>112232</v>
      </c>
      <c r="H21" s="3">
        <v>108567</v>
      </c>
      <c r="I21" s="3">
        <v>112051</v>
      </c>
      <c r="J21">
        <f t="shared" si="0"/>
        <v>127414.6</v>
      </c>
      <c r="K21">
        <f t="shared" si="1"/>
        <v>23152.949588335392</v>
      </c>
      <c r="L21" s="3">
        <v>391263</v>
      </c>
      <c r="M21" s="1">
        <f t="shared" si="2"/>
        <v>0.32564949918596958</v>
      </c>
      <c r="Q21" s="3" t="s">
        <v>42</v>
      </c>
    </row>
    <row r="22" spans="1:17" ht="17" x14ac:dyDescent="0.25">
      <c r="A22" t="s">
        <v>18</v>
      </c>
      <c r="B22" t="s">
        <v>15</v>
      </c>
      <c r="C22">
        <v>1</v>
      </c>
      <c r="D22">
        <v>5</v>
      </c>
      <c r="E22" s="3">
        <v>9590</v>
      </c>
      <c r="F22" s="3">
        <v>9429</v>
      </c>
      <c r="G22" s="3">
        <v>9855</v>
      </c>
      <c r="H22" s="3">
        <v>9192</v>
      </c>
      <c r="I22" s="3">
        <v>9551</v>
      </c>
      <c r="J22">
        <f t="shared" si="0"/>
        <v>9523.4</v>
      </c>
      <c r="K22">
        <f t="shared" si="1"/>
        <v>216.28370257603785</v>
      </c>
      <c r="L22" s="3">
        <v>22765</v>
      </c>
      <c r="M22" s="1">
        <f t="shared" si="2"/>
        <v>0.41833516362837686</v>
      </c>
      <c r="Q22" s="9" t="s">
        <v>34</v>
      </c>
    </row>
    <row r="23" spans="1:17" ht="16" x14ac:dyDescent="0.25">
      <c r="A23" t="s">
        <v>18</v>
      </c>
      <c r="B23" t="s">
        <v>16</v>
      </c>
      <c r="C23">
        <v>1</v>
      </c>
      <c r="D23">
        <v>5</v>
      </c>
      <c r="E23">
        <v>25175</v>
      </c>
      <c r="F23" s="3">
        <v>27692</v>
      </c>
      <c r="G23" s="3">
        <v>34220</v>
      </c>
      <c r="H23" s="3">
        <v>27189</v>
      </c>
      <c r="I23" s="3">
        <v>17432</v>
      </c>
      <c r="J23">
        <f t="shared" si="0"/>
        <v>26341.599999999999</v>
      </c>
      <c r="K23">
        <f t="shared" si="1"/>
        <v>5391.7118098058618</v>
      </c>
      <c r="L23" s="3">
        <v>78802</v>
      </c>
      <c r="M23" s="1">
        <f t="shared" si="2"/>
        <v>0.33427577980254308</v>
      </c>
      <c r="Q23" s="3" t="s">
        <v>40</v>
      </c>
    </row>
    <row r="24" spans="1:17" ht="17" x14ac:dyDescent="0.25">
      <c r="A24" t="s">
        <v>18</v>
      </c>
      <c r="B24" t="s">
        <v>15</v>
      </c>
      <c r="C24">
        <v>2</v>
      </c>
      <c r="D24">
        <v>10</v>
      </c>
      <c r="E24" s="3">
        <v>35867</v>
      </c>
      <c r="F24" s="3">
        <v>34583</v>
      </c>
      <c r="G24" s="3">
        <v>36302</v>
      </c>
      <c r="H24" s="3">
        <v>35874</v>
      </c>
      <c r="I24" s="3">
        <v>36131</v>
      </c>
      <c r="J24">
        <f t="shared" si="0"/>
        <v>35751.4</v>
      </c>
      <c r="K24">
        <f t="shared" si="1"/>
        <v>606.76341353117198</v>
      </c>
      <c r="L24" s="3">
        <v>84389</v>
      </c>
      <c r="M24" s="1">
        <f t="shared" si="2"/>
        <v>0.42365000177748285</v>
      </c>
      <c r="Q24" s="10" t="s">
        <v>37</v>
      </c>
    </row>
    <row r="25" spans="1:17" ht="16" x14ac:dyDescent="0.25">
      <c r="A25" t="s">
        <v>18</v>
      </c>
      <c r="B25" t="s">
        <v>16</v>
      </c>
      <c r="C25">
        <v>2</v>
      </c>
      <c r="D25">
        <v>10</v>
      </c>
      <c r="E25" s="3">
        <v>100709</v>
      </c>
      <c r="F25" s="3">
        <v>85439</v>
      </c>
      <c r="G25" s="3">
        <v>48453</v>
      </c>
      <c r="H25" s="3">
        <v>29209</v>
      </c>
      <c r="I25" s="3">
        <v>9887</v>
      </c>
      <c r="J25">
        <f t="shared" si="0"/>
        <v>54739.4</v>
      </c>
      <c r="K25">
        <f t="shared" si="1"/>
        <v>33937.376148429626</v>
      </c>
      <c r="L25" s="3">
        <v>232059</v>
      </c>
      <c r="M25" s="1">
        <f t="shared" si="2"/>
        <v>0.23588570148108887</v>
      </c>
      <c r="Q25" t="s">
        <v>41</v>
      </c>
    </row>
    <row r="26" spans="1:17" ht="16" x14ac:dyDescent="0.25">
      <c r="A26" s="11" t="s">
        <v>18</v>
      </c>
      <c r="B26" s="11" t="s">
        <v>15</v>
      </c>
      <c r="C26" s="11">
        <v>4</v>
      </c>
      <c r="D26" s="11">
        <v>20</v>
      </c>
      <c r="E26" s="12">
        <v>48659</v>
      </c>
      <c r="F26" s="12">
        <v>48943</v>
      </c>
      <c r="G26" s="12">
        <v>50897</v>
      </c>
      <c r="H26" s="12">
        <v>49881</v>
      </c>
      <c r="I26" s="12">
        <v>50838</v>
      </c>
      <c r="J26" s="11">
        <f t="shared" si="0"/>
        <v>49843.6</v>
      </c>
      <c r="K26" s="11">
        <f t="shared" si="1"/>
        <v>928.89603293371863</v>
      </c>
      <c r="L26" s="12">
        <v>118326</v>
      </c>
      <c r="M26" s="13">
        <f t="shared" si="2"/>
        <v>0.4212396261176749</v>
      </c>
      <c r="Q26" t="s">
        <v>47</v>
      </c>
    </row>
    <row r="27" spans="1:17" ht="16" x14ac:dyDescent="0.25">
      <c r="A27" t="s">
        <v>18</v>
      </c>
      <c r="B27" t="s">
        <v>16</v>
      </c>
      <c r="C27">
        <v>4</v>
      </c>
      <c r="D27">
        <v>20</v>
      </c>
      <c r="E27" s="3">
        <v>132446</v>
      </c>
      <c r="F27" s="3">
        <v>96285</v>
      </c>
      <c r="G27" s="3">
        <v>79535</v>
      </c>
      <c r="H27" s="3">
        <v>46804</v>
      </c>
      <c r="I27" s="3">
        <v>48164</v>
      </c>
      <c r="J27">
        <f t="shared" si="0"/>
        <v>80646.8</v>
      </c>
      <c r="K27">
        <f t="shared" si="1"/>
        <v>32029.405011020732</v>
      </c>
      <c r="L27" s="3">
        <v>304743</v>
      </c>
      <c r="M27" s="1">
        <f t="shared" si="2"/>
        <v>0.26463872837111929</v>
      </c>
      <c r="Q27" s="3" t="s">
        <v>39</v>
      </c>
    </row>
    <row r="28" spans="1:17" ht="17" x14ac:dyDescent="0.25">
      <c r="A28" t="s">
        <v>18</v>
      </c>
      <c r="B28" t="s">
        <v>15</v>
      </c>
      <c r="C28">
        <v>8</v>
      </c>
      <c r="D28">
        <v>40</v>
      </c>
      <c r="E28" s="3">
        <v>53919</v>
      </c>
      <c r="F28" s="3">
        <v>54829</v>
      </c>
      <c r="G28" s="3">
        <v>52703</v>
      </c>
      <c r="H28" s="3">
        <v>55232</v>
      </c>
      <c r="I28" s="3">
        <v>53622</v>
      </c>
      <c r="J28">
        <f t="shared" si="0"/>
        <v>54061</v>
      </c>
      <c r="K28">
        <f t="shared" si="1"/>
        <v>896.45011015672253</v>
      </c>
      <c r="L28" s="3">
        <v>128412</v>
      </c>
      <c r="M28" s="1">
        <f t="shared" si="2"/>
        <v>0.42099648007974333</v>
      </c>
      <c r="Q28" s="10" t="s">
        <v>36</v>
      </c>
    </row>
    <row r="29" spans="1:17" ht="16" x14ac:dyDescent="0.25">
      <c r="A29" t="s">
        <v>18</v>
      </c>
      <c r="B29" t="s">
        <v>16</v>
      </c>
      <c r="C29">
        <v>8</v>
      </c>
      <c r="D29">
        <v>40</v>
      </c>
      <c r="E29" s="3">
        <v>151195</v>
      </c>
      <c r="F29" s="3">
        <v>107359</v>
      </c>
      <c r="G29" s="3">
        <v>104161</v>
      </c>
      <c r="H29" s="3">
        <v>95041</v>
      </c>
      <c r="I29" s="3">
        <v>102073</v>
      </c>
      <c r="J29">
        <f t="shared" si="0"/>
        <v>111965.8</v>
      </c>
      <c r="K29">
        <f t="shared" si="1"/>
        <v>20026.901851259969</v>
      </c>
      <c r="L29" s="3">
        <v>347953</v>
      </c>
      <c r="M29" s="1">
        <f t="shared" si="2"/>
        <v>0.32178426396668519</v>
      </c>
      <c r="Q29" t="s">
        <v>38</v>
      </c>
    </row>
    <row r="30" spans="1:17" ht="17" x14ac:dyDescent="0.25">
      <c r="A30" t="s">
        <v>18</v>
      </c>
      <c r="B30" t="s">
        <v>15</v>
      </c>
      <c r="C30">
        <v>10</v>
      </c>
      <c r="D30">
        <v>50</v>
      </c>
      <c r="E30" s="3">
        <v>52943</v>
      </c>
      <c r="F30" s="3">
        <v>55194</v>
      </c>
      <c r="G30" s="3">
        <v>50501</v>
      </c>
      <c r="H30" s="3">
        <v>52111</v>
      </c>
      <c r="I30" s="3">
        <v>50773</v>
      </c>
      <c r="J30">
        <f t="shared" si="0"/>
        <v>52304.4</v>
      </c>
      <c r="K30">
        <f t="shared" si="1"/>
        <v>1696.6106919384895</v>
      </c>
      <c r="L30" s="3">
        <v>128197</v>
      </c>
      <c r="M30" s="1">
        <f t="shared" si="2"/>
        <v>0.40800018721186926</v>
      </c>
      <c r="Q30" s="10" t="s">
        <v>35</v>
      </c>
    </row>
    <row r="31" spans="1:17" ht="16" x14ac:dyDescent="0.25">
      <c r="A31" t="s">
        <v>18</v>
      </c>
      <c r="B31" t="s">
        <v>16</v>
      </c>
      <c r="C31">
        <v>10</v>
      </c>
      <c r="D31">
        <v>50</v>
      </c>
      <c r="E31" s="3">
        <v>137821</v>
      </c>
      <c r="F31" s="3">
        <v>126834</v>
      </c>
      <c r="G31" s="3">
        <v>113404</v>
      </c>
      <c r="H31" s="3">
        <v>112351</v>
      </c>
      <c r="I31" s="3">
        <v>95578</v>
      </c>
      <c r="J31">
        <f t="shared" si="0"/>
        <v>117197.6</v>
      </c>
      <c r="K31">
        <f t="shared" si="1"/>
        <v>14307.151143396788</v>
      </c>
      <c r="L31" s="3">
        <v>317203</v>
      </c>
      <c r="M31" s="1">
        <f t="shared" si="2"/>
        <v>0.36947191546107699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Miguel dos Santos Jorge</cp:lastModifiedBy>
  <cp:revision/>
  <dcterms:created xsi:type="dcterms:W3CDTF">2025-12-05T16:08:22Z</dcterms:created>
  <dcterms:modified xsi:type="dcterms:W3CDTF">2025-12-09T00:27:04Z</dcterms:modified>
  <cp:category/>
  <cp:contentStatus/>
</cp:coreProperties>
</file>